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3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2" i="2"/>
</calcChain>
</file>

<file path=xl/sharedStrings.xml><?xml version="1.0" encoding="utf-8"?>
<sst xmlns="http://schemas.openxmlformats.org/spreadsheetml/2006/main" count="7" uniqueCount="7">
  <si>
    <t>Reading</t>
  </si>
  <si>
    <t>Load [N]</t>
  </si>
  <si>
    <t>Time [sec.]</t>
  </si>
  <si>
    <t xml:space="preserve">Displacement </t>
  </si>
  <si>
    <t>Force</t>
  </si>
  <si>
    <r>
      <t>Stress (N/mm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</si>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</sst>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56036745406824E-2"/>
          <c:y val="7.6423519976669588E-2"/>
          <c:w val="0.89205796150481187"/>
          <c:h val="0.89814814814814814"/>
        </c:manualLayout>
      </c:layout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Sheet2!$F$2:$F$55</c:f>
              <c:numCache>
                <c:formatCode>General</c:formatCode>
                <c:ptCount val="54"/>
                <c:pt idx="0">
                  <c:v>0</c:v>
                </c:pt>
                <c:pt idx="1">
                  <c:v>1.3888888888888888E-2</c:v>
                </c:pt>
                <c:pt idx="2">
                  <c:v>2.7777777777777776E-2</c:v>
                </c:pt>
                <c:pt idx="3">
                  <c:v>4.1666666666666664E-2</c:v>
                </c:pt>
                <c:pt idx="4">
                  <c:v>5.5611111111111097E-2</c:v>
                </c:pt>
                <c:pt idx="5">
                  <c:v>6.9444444444444448E-2</c:v>
                </c:pt>
                <c:pt idx="6">
                  <c:v>8.3333333333333329E-2</c:v>
                </c:pt>
                <c:pt idx="7">
                  <c:v>9.7222222222222224E-2</c:v>
                </c:pt>
                <c:pt idx="8">
                  <c:v>0.1111111111111111</c:v>
                </c:pt>
                <c:pt idx="9">
                  <c:v>0.12505555555555553</c:v>
                </c:pt>
                <c:pt idx="10">
                  <c:v>0.1388888888888889</c:v>
                </c:pt>
                <c:pt idx="11">
                  <c:v>0.15277777777777779</c:v>
                </c:pt>
                <c:pt idx="12">
                  <c:v>0.16666666666666666</c:v>
                </c:pt>
                <c:pt idx="13">
                  <c:v>0.18061111111111111</c:v>
                </c:pt>
                <c:pt idx="14">
                  <c:v>0.19449999999999998</c:v>
                </c:pt>
                <c:pt idx="15">
                  <c:v>0.20833333333333334</c:v>
                </c:pt>
                <c:pt idx="16">
                  <c:v>0.22222222222222221</c:v>
                </c:pt>
                <c:pt idx="17">
                  <c:v>0.2361111111111111</c:v>
                </c:pt>
                <c:pt idx="18">
                  <c:v>0.25</c:v>
                </c:pt>
                <c:pt idx="19">
                  <c:v>0.26394444444444448</c:v>
                </c:pt>
                <c:pt idx="20">
                  <c:v>0.27777777777777779</c:v>
                </c:pt>
                <c:pt idx="21">
                  <c:v>0.29166666666666669</c:v>
                </c:pt>
                <c:pt idx="22">
                  <c:v>0.30555555555555558</c:v>
                </c:pt>
                <c:pt idx="23">
                  <c:v>0.31944444444444442</c:v>
                </c:pt>
                <c:pt idx="24">
                  <c:v>0.33333333333333331</c:v>
                </c:pt>
                <c:pt idx="25">
                  <c:v>0.34722222222222221</c:v>
                </c:pt>
                <c:pt idx="26">
                  <c:v>0.3611111111111111</c:v>
                </c:pt>
                <c:pt idx="27">
                  <c:v>0.375</c:v>
                </c:pt>
                <c:pt idx="28">
                  <c:v>0.3888888888888889</c:v>
                </c:pt>
                <c:pt idx="29">
                  <c:v>0.40277777777777779</c:v>
                </c:pt>
                <c:pt idx="30">
                  <c:v>0.41666666666666669</c:v>
                </c:pt>
                <c:pt idx="31">
                  <c:v>0.43055555555555558</c:v>
                </c:pt>
                <c:pt idx="32">
                  <c:v>0.44444444444444442</c:v>
                </c:pt>
                <c:pt idx="33">
                  <c:v>0.45833333333333331</c:v>
                </c:pt>
                <c:pt idx="34">
                  <c:v>0.47227777777777774</c:v>
                </c:pt>
                <c:pt idx="35">
                  <c:v>0.4861111111111111</c:v>
                </c:pt>
                <c:pt idx="36">
                  <c:v>0.5</c:v>
                </c:pt>
                <c:pt idx="37">
                  <c:v>0.51394444444444443</c:v>
                </c:pt>
                <c:pt idx="38">
                  <c:v>0.52777777777777779</c:v>
                </c:pt>
                <c:pt idx="39">
                  <c:v>0.54166666666666663</c:v>
                </c:pt>
                <c:pt idx="40">
                  <c:v>0.55561111111111106</c:v>
                </c:pt>
                <c:pt idx="41">
                  <c:v>0.56944444444444442</c:v>
                </c:pt>
                <c:pt idx="42">
                  <c:v>0.58333333333333337</c:v>
                </c:pt>
                <c:pt idx="43">
                  <c:v>0.59722222222222221</c:v>
                </c:pt>
                <c:pt idx="44">
                  <c:v>0.61111111111111116</c:v>
                </c:pt>
                <c:pt idx="45">
                  <c:v>0.625</c:v>
                </c:pt>
                <c:pt idx="46">
                  <c:v>0.63888888888888884</c:v>
                </c:pt>
                <c:pt idx="47">
                  <c:v>0.65277777777777779</c:v>
                </c:pt>
                <c:pt idx="48">
                  <c:v>0.66666666666666663</c:v>
                </c:pt>
                <c:pt idx="49">
                  <c:v>0.68055555555555558</c:v>
                </c:pt>
                <c:pt idx="50">
                  <c:v>0.69444444444444442</c:v>
                </c:pt>
                <c:pt idx="51">
                  <c:v>0.70833333333333337</c:v>
                </c:pt>
                <c:pt idx="52">
                  <c:v>0.72222222222222221</c:v>
                </c:pt>
                <c:pt idx="53">
                  <c:v>0.73611111111111116</c:v>
                </c:pt>
              </c:numCache>
            </c:numRef>
          </c:xVal>
          <c:yVal>
            <c:numRef>
              <c:f>Sheet2!$D$2:$D$55</c:f>
              <c:numCache>
                <c:formatCode>General</c:formatCode>
                <c:ptCount val="54"/>
                <c:pt idx="0">
                  <c:v>-7.7047343698095669E-2</c:v>
                </c:pt>
                <c:pt idx="1">
                  <c:v>-1.3893783289820532E-2</c:v>
                </c:pt>
                <c:pt idx="2">
                  <c:v>8.0836557322592179E-2</c:v>
                </c:pt>
                <c:pt idx="3">
                  <c:v>0.14525318893903283</c:v>
                </c:pt>
                <c:pt idx="4">
                  <c:v>0.20714367813914245</c:v>
                </c:pt>
                <c:pt idx="5">
                  <c:v>0.26777109613108657</c:v>
                </c:pt>
                <c:pt idx="6">
                  <c:v>0.32839851412303073</c:v>
                </c:pt>
                <c:pt idx="7">
                  <c:v>0.38397364728231281</c:v>
                </c:pt>
                <c:pt idx="8">
                  <c:v>0.44333799406609148</c:v>
                </c:pt>
                <c:pt idx="9">
                  <c:v>0.5014392696417046</c:v>
                </c:pt>
                <c:pt idx="10">
                  <c:v>0.55827747400915229</c:v>
                </c:pt>
                <c:pt idx="11">
                  <c:v>0.61258953596026888</c:v>
                </c:pt>
                <c:pt idx="12">
                  <c:v>0.66690159791138537</c:v>
                </c:pt>
                <c:pt idx="13">
                  <c:v>0.71995058865433659</c:v>
                </c:pt>
                <c:pt idx="14">
                  <c:v>0.77299957939728769</c:v>
                </c:pt>
                <c:pt idx="15">
                  <c:v>0.8247854989320732</c:v>
                </c:pt>
                <c:pt idx="16">
                  <c:v>0.87657141846685893</c:v>
                </c:pt>
                <c:pt idx="17">
                  <c:v>0.92583119558531346</c:v>
                </c:pt>
                <c:pt idx="18">
                  <c:v>0.9750909727037681</c:v>
                </c:pt>
                <c:pt idx="19">
                  <c:v>1.0218246074058919</c:v>
                </c:pt>
                <c:pt idx="20">
                  <c:v>1.0698213133161809</c:v>
                </c:pt>
                <c:pt idx="21">
                  <c:v>1.115291876810139</c:v>
                </c:pt>
                <c:pt idx="22">
                  <c:v>1.160762440304097</c:v>
                </c:pt>
                <c:pt idx="23">
                  <c:v>1.2024437901735587</c:v>
                </c:pt>
                <c:pt idx="24">
                  <c:v>1.2453882112511856</c:v>
                </c:pt>
                <c:pt idx="25">
                  <c:v>1.2870695611206473</c:v>
                </c:pt>
                <c:pt idx="26">
                  <c:v>1.3249616973656124</c:v>
                </c:pt>
                <c:pt idx="27">
                  <c:v>1.3628538336105775</c:v>
                </c:pt>
                <c:pt idx="28">
                  <c:v>1.3994828986473771</c:v>
                </c:pt>
                <c:pt idx="29">
                  <c:v>1.4361119636841766</c:v>
                </c:pt>
                <c:pt idx="30">
                  <c:v>1.4689518150964795</c:v>
                </c:pt>
                <c:pt idx="31">
                  <c:v>1.5005285953006173</c:v>
                </c:pt>
                <c:pt idx="32">
                  <c:v>1.5321053755047549</c:v>
                </c:pt>
                <c:pt idx="33">
                  <c:v>1.5649452269170581</c:v>
                </c:pt>
                <c:pt idx="34">
                  <c:v>1.59525893591303</c:v>
                </c:pt>
                <c:pt idx="35">
                  <c:v>1.6268357161171676</c:v>
                </c:pt>
                <c:pt idx="36">
                  <c:v>1.655886353904974</c:v>
                </c:pt>
                <c:pt idx="37">
                  <c:v>1.6849369916927808</c:v>
                </c:pt>
                <c:pt idx="38">
                  <c:v>1.7139876294805871</c:v>
                </c:pt>
                <c:pt idx="39">
                  <c:v>1.740512124852063</c:v>
                </c:pt>
                <c:pt idx="40">
                  <c:v>-3.2069377975322113</c:v>
                </c:pt>
                <c:pt idx="41">
                  <c:v>-3.1980962990750528</c:v>
                </c:pt>
                <c:pt idx="42">
                  <c:v>-3.1980962990750528</c:v>
                </c:pt>
                <c:pt idx="43">
                  <c:v>-3.1980962990750528</c:v>
                </c:pt>
                <c:pt idx="44">
                  <c:v>-3.1980962990750528</c:v>
                </c:pt>
                <c:pt idx="45">
                  <c:v>-3.1980962990750528</c:v>
                </c:pt>
                <c:pt idx="46">
                  <c:v>-3.1980962990750528</c:v>
                </c:pt>
                <c:pt idx="47">
                  <c:v>-3.1980962990750528</c:v>
                </c:pt>
                <c:pt idx="48">
                  <c:v>-3.1980962990750528</c:v>
                </c:pt>
                <c:pt idx="49">
                  <c:v>-3.1980962990750528</c:v>
                </c:pt>
                <c:pt idx="50">
                  <c:v>-3.1980962990750528</c:v>
                </c:pt>
                <c:pt idx="51">
                  <c:v>-3.1980962990750528</c:v>
                </c:pt>
                <c:pt idx="52">
                  <c:v>-3.1980962990750528</c:v>
                </c:pt>
                <c:pt idx="53">
                  <c:v>-3.1980962990750528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69-4D73-953D-A2386F22C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043247"/>
        <c:axId val="1241040335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(Sheet2!$D$5,Sheet2!$F$5)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0.14525318893903283</c:v>
                      </c:pt>
                      <c:pt idx="1">
                        <c:v>4.1666666666666664E-2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0E69-4D73-953D-A2386F22C169}"/>
                  </c:ext>
                </c:extLst>
              </c15:ser>
            </c15:filteredScatterSeries>
            <c15:filteredScatterSeries>
              <c15:ser>
                <c:idx val="4"/>
                <c:order val="2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(Sheet2!$D$6,Sheet2!$F$6)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0.20714367813914245</c:v>
                      </c:pt>
                      <c:pt idx="1">
                        <c:v>5.5611111111111097E-2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0E69-4D73-953D-A2386F22C169}"/>
                  </c:ext>
                </c:extLst>
              </c15:ser>
            </c15:filteredScatterSeries>
            <c15:filteredScatterSeries>
              <c15:ser>
                <c:idx val="5"/>
                <c:order val="3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(Sheet2!$D$7,Sheet2!$F$7)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0.26777109613108657</c:v>
                      </c:pt>
                      <c:pt idx="1">
                        <c:v>6.9444444444444448E-2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0E69-4D73-953D-A2386F22C169}"/>
                  </c:ext>
                </c:extLst>
              </c15:ser>
            </c15:filteredScatterSeries>
            <c15:filteredScatterSeries>
              <c15:ser>
                <c:idx val="6"/>
                <c:order val="4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(Sheet2!$D$8,Sheet2!$F$8)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0.32839851412303073</c:v>
                      </c:pt>
                      <c:pt idx="1">
                        <c:v>8.3333333333333329E-2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0E69-4D73-953D-A2386F22C169}"/>
                  </c:ext>
                </c:extLst>
              </c15:ser>
            </c15:filteredScatterSeries>
            <c15:filteredScatterSeries>
              <c15:ser>
                <c:idx val="7"/>
                <c:order val="5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(Sheet2!$D$9,Sheet2!$F$9)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0.38397364728231281</c:v>
                      </c:pt>
                      <c:pt idx="1">
                        <c:v>9.7222222222222224E-2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0E69-4D73-953D-A2386F22C169}"/>
                  </c:ext>
                </c:extLst>
              </c15:ser>
            </c15:filteredScatterSeries>
            <c15:filteredScatterSeries>
              <c15:ser>
                <c:idx val="8"/>
                <c:order val="6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(Sheet2!$D$10,Sheet2!$F$10)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0.44333799406609148</c:v>
                      </c:pt>
                      <c:pt idx="1">
                        <c:v>0.1111111111111111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0E69-4D73-953D-A2386F22C169}"/>
                  </c:ext>
                </c:extLst>
              </c15:ser>
            </c15:filteredScatterSeries>
            <c15:filteredScatterSeries>
              <c15:ser>
                <c:idx val="9"/>
                <c:order val="7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(Sheet2!$D$11,Sheet2!$F$11)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0.5014392696417046</c:v>
                      </c:pt>
                      <c:pt idx="1">
                        <c:v>0.12505555555555553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0E69-4D73-953D-A2386F22C169}"/>
                  </c:ext>
                </c:extLst>
              </c15:ser>
            </c15:filteredScatterSeries>
            <c15:filteredScatterSeries>
              <c15:ser>
                <c:idx val="10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(Sheet2!$D$12,Sheet2!$F$12)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0.55827747400915229</c:v>
                      </c:pt>
                      <c:pt idx="1">
                        <c:v>0.1388888888888889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0E69-4D73-953D-A2386F22C169}"/>
                  </c:ext>
                </c:extLst>
              </c15:ser>
            </c15:filteredScatterSeries>
            <c15:filteredScatterSeries>
              <c15:ser>
                <c:idx val="11"/>
                <c:order val="9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(Sheet2!$D$13,Sheet2!$F$13)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0.61258953596026888</c:v>
                      </c:pt>
                      <c:pt idx="1">
                        <c:v>0.15277777777777779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0E69-4D73-953D-A2386F22C169}"/>
                  </c:ext>
                </c:extLst>
              </c15:ser>
            </c15:filteredScatterSeries>
            <c15:filteredScatterSeries>
              <c15:ser>
                <c:idx val="12"/>
                <c:order val="1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(Sheet2!$D$14,Sheet2!$F$14)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0.66690159791138537</c:v>
                      </c:pt>
                      <c:pt idx="1">
                        <c:v>0.16666666666666666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0E69-4D73-953D-A2386F22C169}"/>
                  </c:ext>
                </c:extLst>
              </c15:ser>
            </c15:filteredScatterSeries>
            <c15:filteredScatterSeries>
              <c15:ser>
                <c:idx val="13"/>
                <c:order val="1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(Sheet2!$D$15,Sheet2!$F$15)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0.71995058865433659</c:v>
                      </c:pt>
                      <c:pt idx="1">
                        <c:v>0.18061111111111111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D-0E69-4D73-953D-A2386F22C169}"/>
                  </c:ext>
                </c:extLst>
              </c15:ser>
            </c15:filteredScatterSeries>
            <c15:filteredScatterSeries>
              <c15:ser>
                <c:idx val="14"/>
                <c:order val="12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(Sheet2!$D$16,Sheet2!$F$16)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0.77299957939728769</c:v>
                      </c:pt>
                      <c:pt idx="1">
                        <c:v>0.19449999999999998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E-0E69-4D73-953D-A2386F22C169}"/>
                  </c:ext>
                </c:extLst>
              </c15:ser>
            </c15:filteredScatterSeries>
            <c15:filteredScatterSeries>
              <c15:ser>
                <c:idx val="15"/>
                <c:order val="13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(Sheet2!$D$17,Sheet2!$F$17)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0.8247854989320732</c:v>
                      </c:pt>
                      <c:pt idx="1">
                        <c:v>0.20833333333333334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F-0E69-4D73-953D-A2386F22C169}"/>
                  </c:ext>
                </c:extLst>
              </c15:ser>
            </c15:filteredScatterSeries>
            <c15:filteredScatterSeries>
              <c15:ser>
                <c:idx val="16"/>
                <c:order val="14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(Sheet2!$D$18,Sheet2!$F$18)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0.87657141846685893</c:v>
                      </c:pt>
                      <c:pt idx="1">
                        <c:v>0.22222222222222221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0-0E69-4D73-953D-A2386F22C169}"/>
                  </c:ext>
                </c:extLst>
              </c15:ser>
            </c15:filteredScatterSeries>
            <c15:filteredScatterSeries>
              <c15:ser>
                <c:idx val="17"/>
                <c:order val="15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(Sheet2!$D$19,Sheet2!$F$19)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0.92583119558531346</c:v>
                      </c:pt>
                      <c:pt idx="1">
                        <c:v>0.2361111111111111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0E69-4D73-953D-A2386F22C169}"/>
                  </c:ext>
                </c:extLst>
              </c15:ser>
            </c15:filteredScatterSeries>
            <c15:filteredScatterSeries>
              <c15:ser>
                <c:idx val="18"/>
                <c:order val="16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(Sheet2!$D$20,Sheet2!$F$20)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0.9750909727037681</c:v>
                      </c:pt>
                      <c:pt idx="1">
                        <c:v>0.25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2-0E69-4D73-953D-A2386F22C169}"/>
                  </c:ext>
                </c:extLst>
              </c15:ser>
            </c15:filteredScatterSeries>
            <c15:filteredScatterSeries>
              <c15:ser>
                <c:idx val="19"/>
                <c:order val="17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(Sheet2!$D$21,Sheet2!$F$21)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1.0218246074058919</c:v>
                      </c:pt>
                      <c:pt idx="1">
                        <c:v>0.26394444444444448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3-0E69-4D73-953D-A2386F22C169}"/>
                  </c:ext>
                </c:extLst>
              </c15:ser>
            </c15:filteredScatterSeries>
            <c15:filteredScatterSeries>
              <c15:ser>
                <c:idx val="20"/>
                <c:order val="1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(Sheet2!$D$22,Sheet2!$F$22)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1.0698213133161809</c:v>
                      </c:pt>
                      <c:pt idx="1">
                        <c:v>0.27777777777777779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4-0E69-4D73-953D-A2386F22C169}"/>
                  </c:ext>
                </c:extLst>
              </c15:ser>
            </c15:filteredScatterSeries>
            <c15:filteredScatterSeries>
              <c15:ser>
                <c:idx val="21"/>
                <c:order val="19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(Sheet2!$D$23,Sheet2!$F$23)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1.115291876810139</c:v>
                      </c:pt>
                      <c:pt idx="1">
                        <c:v>0.29166666666666669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5-0E69-4D73-953D-A2386F22C169}"/>
                  </c:ext>
                </c:extLst>
              </c15:ser>
            </c15:filteredScatterSeries>
            <c15:filteredScatterSeries>
              <c15:ser>
                <c:idx val="22"/>
                <c:order val="2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(Sheet2!$D$24,Sheet2!$F$24)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1.160762440304097</c:v>
                      </c:pt>
                      <c:pt idx="1">
                        <c:v>0.30555555555555558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6-0E69-4D73-953D-A2386F22C169}"/>
                  </c:ext>
                </c:extLst>
              </c15:ser>
            </c15:filteredScatterSeries>
            <c15:filteredScatterSeries>
              <c15:ser>
                <c:idx val="23"/>
                <c:order val="2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(Sheet2!$D$25,Sheet2!$F$25)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1.2024437901735587</c:v>
                      </c:pt>
                      <c:pt idx="1">
                        <c:v>0.31944444444444442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7-0E69-4D73-953D-A2386F22C169}"/>
                  </c:ext>
                </c:extLst>
              </c15:ser>
            </c15:filteredScatterSeries>
            <c15:filteredScatterSeries>
              <c15:ser>
                <c:idx val="24"/>
                <c:order val="22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(Sheet2!$D$26,Sheet2!$F$26)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1.2453882112511856</c:v>
                      </c:pt>
                      <c:pt idx="1">
                        <c:v>0.33333333333333331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8-0E69-4D73-953D-A2386F22C169}"/>
                  </c:ext>
                </c:extLst>
              </c15:ser>
            </c15:filteredScatterSeries>
            <c15:filteredScatterSeries>
              <c15:ser>
                <c:idx val="25"/>
                <c:order val="23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(Sheet2!$D$27,Sheet2!$F$27)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1.2870695611206473</c:v>
                      </c:pt>
                      <c:pt idx="1">
                        <c:v>0.34722222222222221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9-0E69-4D73-953D-A2386F22C169}"/>
                  </c:ext>
                </c:extLst>
              </c15:ser>
            </c15:filteredScatterSeries>
            <c15:filteredScatterSeries>
              <c15:ser>
                <c:idx val="26"/>
                <c:order val="24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(Sheet2!$D$28,Sheet2!$F$28)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1.3249616973656124</c:v>
                      </c:pt>
                      <c:pt idx="1">
                        <c:v>0.3611111111111111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A-0E69-4D73-953D-A2386F22C169}"/>
                  </c:ext>
                </c:extLst>
              </c15:ser>
            </c15:filteredScatterSeries>
            <c15:filteredScatterSeries>
              <c15:ser>
                <c:idx val="27"/>
                <c:order val="25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(Sheet2!$D$29,Sheet2!$F$29)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1.3628538336105775</c:v>
                      </c:pt>
                      <c:pt idx="1">
                        <c:v>0.375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B-0E69-4D73-953D-A2386F22C169}"/>
                  </c:ext>
                </c:extLst>
              </c15:ser>
            </c15:filteredScatterSeries>
            <c15:filteredScatterSeries>
              <c15:ser>
                <c:idx val="28"/>
                <c:order val="26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(Sheet2!$D$30,Sheet2!$F$30)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1.3994828986473771</c:v>
                      </c:pt>
                      <c:pt idx="1">
                        <c:v>0.3888888888888889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C-0E69-4D73-953D-A2386F22C169}"/>
                  </c:ext>
                </c:extLst>
              </c15:ser>
            </c15:filteredScatterSeries>
            <c15:filteredScatterSeries>
              <c15:ser>
                <c:idx val="29"/>
                <c:order val="27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(Sheet2!$D$31,Sheet2!$F$31)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1.4361119636841766</c:v>
                      </c:pt>
                      <c:pt idx="1">
                        <c:v>0.40277777777777779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D-0E69-4D73-953D-A2386F22C169}"/>
                  </c:ext>
                </c:extLst>
              </c15:ser>
            </c15:filteredScatterSeries>
            <c15:filteredScatterSeries>
              <c15:ser>
                <c:idx val="30"/>
                <c:order val="2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(Sheet2!$D$32,Sheet2!$F$32)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1.4689518150964795</c:v>
                      </c:pt>
                      <c:pt idx="1">
                        <c:v>0.41666666666666669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E-0E69-4D73-953D-A2386F22C169}"/>
                  </c:ext>
                </c:extLst>
              </c15:ser>
            </c15:filteredScatterSeries>
            <c15:filteredScatterSeries>
              <c15:ser>
                <c:idx val="31"/>
                <c:order val="29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50000"/>
                      </a:schemeClr>
                    </a:solidFill>
                    <a:ln w="9525">
                      <a:solidFill>
                        <a:schemeClr val="accent2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(Sheet2!$D$33,Sheet2!$F$33)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1.5005285953006173</c:v>
                      </c:pt>
                      <c:pt idx="1">
                        <c:v>0.43055555555555558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F-0E69-4D73-953D-A2386F22C169}"/>
                  </c:ext>
                </c:extLst>
              </c15:ser>
            </c15:filteredScatterSeries>
            <c15:filteredScatterSeries>
              <c15:ser>
                <c:idx val="32"/>
                <c:order val="3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50000"/>
                      </a:schemeClr>
                    </a:solidFill>
                    <a:ln w="9525">
                      <a:solidFill>
                        <a:schemeClr val="accent3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(Sheet2!$D$34,Sheet2!$F$34)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1.5321053755047549</c:v>
                      </c:pt>
                      <c:pt idx="1">
                        <c:v>0.44444444444444442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0-0E69-4D73-953D-A2386F22C169}"/>
                  </c:ext>
                </c:extLst>
              </c15:ser>
            </c15:filteredScatterSeries>
            <c15:filteredScatterSeries>
              <c15:ser>
                <c:idx val="33"/>
                <c:order val="3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50000"/>
                      </a:schemeClr>
                    </a:solidFill>
                    <a:ln w="9525">
                      <a:solidFill>
                        <a:schemeClr val="accent4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(Sheet2!$D$35,Sheet2!$F$35)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1.5649452269170581</c:v>
                      </c:pt>
                      <c:pt idx="1">
                        <c:v>0.45833333333333331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1-0E69-4D73-953D-A2386F22C169}"/>
                  </c:ext>
                </c:extLst>
              </c15:ser>
            </c15:filteredScatterSeries>
            <c15:filteredScatterSeries>
              <c15:ser>
                <c:idx val="34"/>
                <c:order val="32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50000"/>
                      </a:schemeClr>
                    </a:solidFill>
                    <a:ln w="9525">
                      <a:solidFill>
                        <a:schemeClr val="accent5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(Sheet2!$D$36,Sheet2!$F$36)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1.59525893591303</c:v>
                      </c:pt>
                      <c:pt idx="1">
                        <c:v>0.47227777777777774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2-0E69-4D73-953D-A2386F22C169}"/>
                  </c:ext>
                </c:extLst>
              </c15:ser>
            </c15:filteredScatterSeries>
            <c15:filteredScatterSeries>
              <c15:ser>
                <c:idx val="35"/>
                <c:order val="33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9525">
                      <a:solidFill>
                        <a:schemeClr val="accent6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(Sheet2!$D$37,Sheet2!$F$37)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1.6268357161171676</c:v>
                      </c:pt>
                      <c:pt idx="1">
                        <c:v>0.4861111111111111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3-0E69-4D73-953D-A2386F22C169}"/>
                  </c:ext>
                </c:extLst>
              </c15:ser>
            </c15:filteredScatterSeries>
            <c15:filteredScatterSeries>
              <c15:ser>
                <c:idx val="36"/>
                <c:order val="34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9525">
                      <a:solidFill>
                        <a:schemeClr val="accent1">
                          <a:lumMod val="70000"/>
                          <a:lumOff val="3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(Sheet2!$D$38,Sheet2!$F$38)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1.655886353904974</c:v>
                      </c:pt>
                      <c:pt idx="1">
                        <c:v>0.5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4-0E69-4D73-953D-A2386F22C169}"/>
                  </c:ext>
                </c:extLst>
              </c15:ser>
            </c15:filteredScatterSeries>
            <c15:filteredScatterSeries>
              <c15:ser>
                <c:idx val="37"/>
                <c:order val="35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9525">
                      <a:solidFill>
                        <a:schemeClr val="accent2">
                          <a:lumMod val="70000"/>
                          <a:lumOff val="3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(Sheet2!$D$39,Sheet2!$F$39)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1.6849369916927808</c:v>
                      </c:pt>
                      <c:pt idx="1">
                        <c:v>0.51394444444444443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5-0E69-4D73-953D-A2386F22C169}"/>
                  </c:ext>
                </c:extLst>
              </c15:ser>
            </c15:filteredScatterSeries>
            <c15:filteredScatterSeries>
              <c15:ser>
                <c:idx val="38"/>
                <c:order val="36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9525">
                      <a:solidFill>
                        <a:schemeClr val="accent3">
                          <a:lumMod val="70000"/>
                          <a:lumOff val="3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(Sheet2!$D$40,Sheet2!$F$40)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1.7139876294805871</c:v>
                      </c:pt>
                      <c:pt idx="1">
                        <c:v>0.52777777777777779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6-0E69-4D73-953D-A2386F22C169}"/>
                  </c:ext>
                </c:extLst>
              </c15:ser>
            </c15:filteredScatterSeries>
            <c15:filteredScatterSeries>
              <c15:ser>
                <c:idx val="39"/>
                <c:order val="37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9525">
                      <a:solidFill>
                        <a:schemeClr val="accent4">
                          <a:lumMod val="70000"/>
                          <a:lumOff val="3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(Sheet2!$D$41,Sheet2!$F$41)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1.740512124852063</c:v>
                      </c:pt>
                      <c:pt idx="1">
                        <c:v>0.54166666666666663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7-0E69-4D73-953D-A2386F22C169}"/>
                  </c:ext>
                </c:extLst>
              </c15:ser>
            </c15:filteredScatterSeries>
            <c15:filteredScatterSeries>
              <c15:ser>
                <c:idx val="40"/>
                <c:order val="3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9525">
                      <a:solidFill>
                        <a:schemeClr val="accent5">
                          <a:lumMod val="70000"/>
                          <a:lumOff val="3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(Sheet2!$D$42,Sheet2!$F$42)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-3.2069377975322113</c:v>
                      </c:pt>
                      <c:pt idx="1">
                        <c:v>0.55561111111111106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8-0E69-4D73-953D-A2386F22C169}"/>
                  </c:ext>
                </c:extLst>
              </c15:ser>
            </c15:filteredScatterSeries>
            <c15:filteredScatterSeries>
              <c15:ser>
                <c:idx val="41"/>
                <c:order val="39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9525">
                      <a:solidFill>
                        <a:schemeClr val="accent6">
                          <a:lumMod val="70000"/>
                          <a:lumOff val="3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(Sheet2!$D$43,Sheet2!$F$43)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-3.1980962990750528</c:v>
                      </c:pt>
                      <c:pt idx="1">
                        <c:v>0.56944444444444442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9-0E69-4D73-953D-A2386F22C169}"/>
                  </c:ext>
                </c:extLst>
              </c15:ser>
            </c15:filteredScatterSeries>
            <c15:filteredScatterSeries>
              <c15:ser>
                <c:idx val="42"/>
                <c:order val="4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70000"/>
                      </a:schemeClr>
                    </a:solidFill>
                    <a:ln w="9525">
                      <a:solidFill>
                        <a:schemeClr val="accent1">
                          <a:lumMod val="7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(Sheet2!$D$44,Sheet2!$F$44)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-3.1980962990750528</c:v>
                      </c:pt>
                      <c:pt idx="1">
                        <c:v>0.58333333333333337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A-0E69-4D73-953D-A2386F22C169}"/>
                  </c:ext>
                </c:extLst>
              </c15:ser>
            </c15:filteredScatterSeries>
            <c15:filteredScatterSeries>
              <c15:ser>
                <c:idx val="43"/>
                <c:order val="4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70000"/>
                      </a:schemeClr>
                    </a:solidFill>
                    <a:ln w="9525">
                      <a:solidFill>
                        <a:schemeClr val="accent2">
                          <a:lumMod val="7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(Sheet2!$D$45,Sheet2!$F$45)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-3.1980962990750528</c:v>
                      </c:pt>
                      <c:pt idx="1">
                        <c:v>0.59722222222222221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B-0E69-4D73-953D-A2386F22C169}"/>
                  </c:ext>
                </c:extLst>
              </c15:ser>
            </c15:filteredScatterSeries>
            <c15:filteredScatterSeries>
              <c15:ser>
                <c:idx val="44"/>
                <c:order val="42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70000"/>
                      </a:schemeClr>
                    </a:solidFill>
                    <a:ln w="9525">
                      <a:solidFill>
                        <a:schemeClr val="accent3">
                          <a:lumMod val="7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(Sheet2!$D$46,Sheet2!$F$46)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-3.1980962990750528</c:v>
                      </c:pt>
                      <c:pt idx="1">
                        <c:v>0.61111111111111116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C-0E69-4D73-953D-A2386F22C169}"/>
                  </c:ext>
                </c:extLst>
              </c15:ser>
            </c15:filteredScatterSeries>
            <c15:filteredScatterSeries>
              <c15:ser>
                <c:idx val="45"/>
                <c:order val="43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70000"/>
                      </a:schemeClr>
                    </a:solidFill>
                    <a:ln w="9525">
                      <a:solidFill>
                        <a:schemeClr val="accent4">
                          <a:lumMod val="7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(Sheet2!$D$47,Sheet2!$F$47)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-3.1980962990750528</c:v>
                      </c:pt>
                      <c:pt idx="1">
                        <c:v>0.625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D-0E69-4D73-953D-A2386F22C169}"/>
                  </c:ext>
                </c:extLst>
              </c15:ser>
            </c15:filteredScatterSeries>
            <c15:filteredScatterSeries>
              <c15:ser>
                <c:idx val="46"/>
                <c:order val="44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70000"/>
                      </a:schemeClr>
                    </a:solidFill>
                    <a:ln w="9525">
                      <a:solidFill>
                        <a:schemeClr val="accent5">
                          <a:lumMod val="7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(Sheet2!$D$48,Sheet2!$F$48)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-3.1980962990750528</c:v>
                      </c:pt>
                      <c:pt idx="1">
                        <c:v>0.63888888888888884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E-0E69-4D73-953D-A2386F22C169}"/>
                  </c:ext>
                </c:extLst>
              </c15:ser>
            </c15:filteredScatterSeries>
            <c15:filteredScatterSeries>
              <c15:ser>
                <c:idx val="47"/>
                <c:order val="45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70000"/>
                      </a:schemeClr>
                    </a:solidFill>
                    <a:ln w="9525">
                      <a:solidFill>
                        <a:schemeClr val="accent6">
                          <a:lumMod val="7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(Sheet2!$D$49,Sheet2!$F$49)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-3.1980962990750528</c:v>
                      </c:pt>
                      <c:pt idx="1">
                        <c:v>0.65277777777777779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F-0E69-4D73-953D-A2386F22C169}"/>
                  </c:ext>
                </c:extLst>
              </c15:ser>
            </c15:filteredScatterSeries>
            <c15:filteredScatterSeries>
              <c15:ser>
                <c:idx val="48"/>
                <c:order val="46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9525">
                      <a:solidFill>
                        <a:schemeClr val="accent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(Sheet2!$D$50,Sheet2!$F$50)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-3.1980962990750528</c:v>
                      </c:pt>
                      <c:pt idx="1">
                        <c:v>0.66666666666666663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30-0E69-4D73-953D-A2386F22C169}"/>
                  </c:ext>
                </c:extLst>
              </c15:ser>
            </c15:filteredScatterSeries>
            <c15:filteredScatterSeries>
              <c15:ser>
                <c:idx val="49"/>
                <c:order val="47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9525">
                      <a:solidFill>
                        <a:schemeClr val="accent2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(Sheet2!$D$51,Sheet2!$F$51)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-3.1980962990750528</c:v>
                      </c:pt>
                      <c:pt idx="1">
                        <c:v>0.68055555555555558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31-0E69-4D73-953D-A2386F22C169}"/>
                  </c:ext>
                </c:extLst>
              </c15:ser>
            </c15:filteredScatterSeries>
            <c15:filteredScatterSeries>
              <c15:ser>
                <c:idx val="50"/>
                <c:order val="4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9525">
                      <a:solidFill>
                        <a:schemeClr val="accent3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(Sheet2!$D$52,Sheet2!$F$52)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-3.1980962990750528</c:v>
                      </c:pt>
                      <c:pt idx="1">
                        <c:v>0.69444444444444442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32-0E69-4D73-953D-A2386F22C169}"/>
                  </c:ext>
                </c:extLst>
              </c15:ser>
            </c15:filteredScatterSeries>
            <c15:filteredScatterSeries>
              <c15:ser>
                <c:idx val="51"/>
                <c:order val="49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9525">
                      <a:solidFill>
                        <a:schemeClr val="accent4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(Sheet2!$D$53,Sheet2!$F$53)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-3.1980962990750528</c:v>
                      </c:pt>
                      <c:pt idx="1">
                        <c:v>0.70833333333333337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33-0E69-4D73-953D-A2386F22C169}"/>
                  </c:ext>
                </c:extLst>
              </c15:ser>
            </c15:filteredScatterSeries>
            <c15:filteredScatterSeries>
              <c15:ser>
                <c:idx val="52"/>
                <c:order val="5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9525">
                      <a:solidFill>
                        <a:schemeClr val="accent5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(Sheet2!$D$54,Sheet2!$F$54)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-3.1980962990750528</c:v>
                      </c:pt>
                      <c:pt idx="1">
                        <c:v>0.72222222222222221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34-0E69-4D73-953D-A2386F22C169}"/>
                  </c:ext>
                </c:extLst>
              </c15:ser>
            </c15:filteredScatterSeries>
            <c15:filteredScatterSeries>
              <c15:ser>
                <c:idx val="53"/>
                <c:order val="5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9525">
                      <a:solidFill>
                        <a:schemeClr val="accent6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:marker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(Sheet2!$D$1,Sheet2!$F$1)</c15:sqref>
                        </c15:formulaRef>
                      </c:ext>
                    </c:extLst>
                    <c:strCache>
                      <c:ptCount val="2"/>
                      <c:pt idx="0">
                        <c:v>Stress (N/mm2)</c:v>
                      </c:pt>
                      <c:pt idx="1">
                        <c:v>strain</c:v>
                      </c:pt>
                    </c:strCache>
                  </c:str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(Sheet2!$D$55,Sheet2!$F$55)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-3.1980962990750528</c:v>
                      </c:pt>
                      <c:pt idx="1">
                        <c:v>0.73611111111111116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35-0E69-4D73-953D-A2386F22C169}"/>
                  </c:ext>
                </c:extLst>
              </c15:ser>
            </c15:filteredScatterSeries>
          </c:ext>
        </c:extLst>
      </c:scatterChart>
      <c:valAx>
        <c:axId val="1241043247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040335"/>
        <c:crosses val="autoZero"/>
        <c:crossBetween val="midCat"/>
      </c:valAx>
      <c:valAx>
        <c:axId val="12410403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043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100012</xdr:colOff>
      <xdr:row>7</xdr:row>
      <xdr:rowOff>176212</xdr:rowOff>
    </xdr:from>
    <xdr:to>
      <xdr:col>18</xdr:col>
      <xdr:colOff>404812</xdr:colOff>
      <xdr:row>22</xdr:row>
      <xdr:rowOff>61912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V23" sqref="V23"/>
    </sheetView>
  </sheetViews>
  <sheetFormatPr defaultRowHeight="15" x14ac:dyDescent="0.25"/>
  <cols>
    <col min="2" max="3" width="12.85546875" customWidth="1"/>
    <col min="4" max="4" width="17.5703125" customWidth="1"/>
    <col min="5" max="6" width="12.85546875" customWidth="1"/>
    <col min="7" max="7" width="12.5703125" customWidth="1"/>
  </cols>
  <sheetData>
    <row r="1" spans="1:7" ht="17.25" x14ac:dyDescent="0.25">
      <c r="A1" t="s">
        <v>0</v>
      </c>
      <c r="B1" t="s">
        <v>1</v>
      </c>
      <c r="C1" t="s">
        <v>4</v>
      </c>
      <c r="D1" t="s">
        <v>5</v>
      </c>
      <c r="E1" t="s">
        <v>3</v>
      </c>
      <c r="F1" t="s">
        <v>6</v>
      </c>
      <c r="G1" t="s">
        <v>2</v>
      </c>
    </row>
    <row r="2" spans="1:7" x14ac:dyDescent="0.25">
      <c r="A2">
        <v>1</v>
      </c>
      <c r="B2">
        <v>6.1</v>
      </c>
      <c r="C2">
        <f>B2*(-1)</f>
        <v>-6.1</v>
      </c>
      <c r="D2">
        <f>C2/(19.17*4.13)</f>
        <v>-7.7047343698095669E-2</v>
      </c>
      <c r="E2">
        <f>5*G2</f>
        <v>0</v>
      </c>
      <c r="F2">
        <f>E2/90</f>
        <v>0</v>
      </c>
      <c r="G2">
        <v>0</v>
      </c>
    </row>
    <row r="3" spans="1:7" x14ac:dyDescent="0.25">
      <c r="A3">
        <v>2</v>
      </c>
      <c r="B3">
        <v>1.1000000000000001</v>
      </c>
      <c r="C3">
        <f t="shared" ref="C3:C55" si="0">B3*(-1)</f>
        <v>-1.1000000000000001</v>
      </c>
      <c r="D3">
        <f t="shared" ref="D3:D55" si="1">C3/(19.17*4.13)</f>
        <v>-1.3893783289820532E-2</v>
      </c>
      <c r="E3">
        <f>5*G3</f>
        <v>1.25</v>
      </c>
      <c r="F3">
        <f t="shared" ref="F3:F55" si="2">E3/90</f>
        <v>1.3888888888888888E-2</v>
      </c>
      <c r="G3">
        <v>0.25</v>
      </c>
    </row>
    <row r="4" spans="1:7" x14ac:dyDescent="0.25">
      <c r="A4">
        <v>3</v>
      </c>
      <c r="B4">
        <v>-6.4</v>
      </c>
      <c r="C4">
        <f t="shared" si="0"/>
        <v>6.4</v>
      </c>
      <c r="D4">
        <f t="shared" si="1"/>
        <v>8.0836557322592179E-2</v>
      </c>
      <c r="E4">
        <f>5*G4</f>
        <v>2.5</v>
      </c>
      <c r="F4">
        <f t="shared" si="2"/>
        <v>2.7777777777777776E-2</v>
      </c>
      <c r="G4">
        <v>0.5</v>
      </c>
    </row>
    <row r="5" spans="1:7" x14ac:dyDescent="0.25">
      <c r="A5">
        <v>4</v>
      </c>
      <c r="B5">
        <v>-11.5</v>
      </c>
      <c r="C5">
        <f t="shared" si="0"/>
        <v>11.5</v>
      </c>
      <c r="D5">
        <f t="shared" si="1"/>
        <v>0.14525318893903283</v>
      </c>
      <c r="E5">
        <f>5*G5</f>
        <v>3.75</v>
      </c>
      <c r="F5">
        <f t="shared" si="2"/>
        <v>4.1666666666666664E-2</v>
      </c>
      <c r="G5">
        <v>0.75</v>
      </c>
    </row>
    <row r="6" spans="1:7" x14ac:dyDescent="0.25">
      <c r="A6">
        <v>5</v>
      </c>
      <c r="B6">
        <v>-16.399999999999999</v>
      </c>
      <c r="C6">
        <f t="shared" si="0"/>
        <v>16.399999999999999</v>
      </c>
      <c r="D6">
        <f t="shared" si="1"/>
        <v>0.20714367813914245</v>
      </c>
      <c r="E6">
        <f>5*G6</f>
        <v>5.004999999999999</v>
      </c>
      <c r="F6">
        <f t="shared" si="2"/>
        <v>5.5611111111111097E-2</v>
      </c>
      <c r="G6">
        <v>1.0009999999999999</v>
      </c>
    </row>
    <row r="7" spans="1:7" x14ac:dyDescent="0.25">
      <c r="A7">
        <v>6</v>
      </c>
      <c r="B7">
        <v>-21.2</v>
      </c>
      <c r="C7">
        <f t="shared" si="0"/>
        <v>21.2</v>
      </c>
      <c r="D7">
        <f t="shared" si="1"/>
        <v>0.26777109613108657</v>
      </c>
      <c r="E7">
        <f>5*G7</f>
        <v>6.25</v>
      </c>
      <c r="F7">
        <f t="shared" si="2"/>
        <v>6.9444444444444448E-2</v>
      </c>
      <c r="G7">
        <v>1.25</v>
      </c>
    </row>
    <row r="8" spans="1:7" x14ac:dyDescent="0.25">
      <c r="A8">
        <v>7</v>
      </c>
      <c r="B8">
        <v>-26</v>
      </c>
      <c r="C8">
        <f t="shared" si="0"/>
        <v>26</v>
      </c>
      <c r="D8">
        <f t="shared" si="1"/>
        <v>0.32839851412303073</v>
      </c>
      <c r="E8">
        <f>5*G8</f>
        <v>7.5</v>
      </c>
      <c r="F8">
        <f t="shared" si="2"/>
        <v>8.3333333333333329E-2</v>
      </c>
      <c r="G8">
        <v>1.5</v>
      </c>
    </row>
    <row r="9" spans="1:7" x14ac:dyDescent="0.25">
      <c r="A9">
        <v>8</v>
      </c>
      <c r="B9">
        <v>-30.4</v>
      </c>
      <c r="C9">
        <f t="shared" si="0"/>
        <v>30.4</v>
      </c>
      <c r="D9">
        <f t="shared" si="1"/>
        <v>0.38397364728231281</v>
      </c>
      <c r="E9">
        <f>5*G9</f>
        <v>8.75</v>
      </c>
      <c r="F9">
        <f t="shared" si="2"/>
        <v>9.7222222222222224E-2</v>
      </c>
      <c r="G9">
        <v>1.75</v>
      </c>
    </row>
    <row r="10" spans="1:7" x14ac:dyDescent="0.25">
      <c r="A10">
        <v>9</v>
      </c>
      <c r="B10">
        <v>-35.1</v>
      </c>
      <c r="C10">
        <f t="shared" si="0"/>
        <v>35.1</v>
      </c>
      <c r="D10">
        <f t="shared" si="1"/>
        <v>0.44333799406609148</v>
      </c>
      <c r="E10">
        <f>5*G10</f>
        <v>10</v>
      </c>
      <c r="F10">
        <f t="shared" si="2"/>
        <v>0.1111111111111111</v>
      </c>
      <c r="G10">
        <v>2</v>
      </c>
    </row>
    <row r="11" spans="1:7" x14ac:dyDescent="0.25">
      <c r="A11">
        <v>10</v>
      </c>
      <c r="B11">
        <v>-39.700000000000003</v>
      </c>
      <c r="C11">
        <f t="shared" si="0"/>
        <v>39.700000000000003</v>
      </c>
      <c r="D11">
        <f t="shared" si="1"/>
        <v>0.5014392696417046</v>
      </c>
      <c r="E11">
        <f>5*G11</f>
        <v>11.254999999999999</v>
      </c>
      <c r="F11">
        <f t="shared" si="2"/>
        <v>0.12505555555555553</v>
      </c>
      <c r="G11">
        <v>2.2509999999999999</v>
      </c>
    </row>
    <row r="12" spans="1:7" x14ac:dyDescent="0.25">
      <c r="A12">
        <v>11</v>
      </c>
      <c r="B12">
        <v>-44.2</v>
      </c>
      <c r="C12">
        <f t="shared" si="0"/>
        <v>44.2</v>
      </c>
      <c r="D12">
        <f t="shared" si="1"/>
        <v>0.55827747400915229</v>
      </c>
      <c r="E12">
        <f>5*G12</f>
        <v>12.5</v>
      </c>
      <c r="F12">
        <f t="shared" si="2"/>
        <v>0.1388888888888889</v>
      </c>
      <c r="G12">
        <v>2.5</v>
      </c>
    </row>
    <row r="13" spans="1:7" x14ac:dyDescent="0.25">
      <c r="A13">
        <v>12</v>
      </c>
      <c r="B13">
        <v>-48.5</v>
      </c>
      <c r="C13">
        <f t="shared" si="0"/>
        <v>48.5</v>
      </c>
      <c r="D13">
        <f t="shared" si="1"/>
        <v>0.61258953596026888</v>
      </c>
      <c r="E13">
        <f>5*G13</f>
        <v>13.75</v>
      </c>
      <c r="F13">
        <f t="shared" si="2"/>
        <v>0.15277777777777779</v>
      </c>
      <c r="G13">
        <v>2.75</v>
      </c>
    </row>
    <row r="14" spans="1:7" x14ac:dyDescent="0.25">
      <c r="A14">
        <v>13</v>
      </c>
      <c r="B14">
        <v>-52.8</v>
      </c>
      <c r="C14">
        <f t="shared" si="0"/>
        <v>52.8</v>
      </c>
      <c r="D14">
        <f t="shared" si="1"/>
        <v>0.66690159791138537</v>
      </c>
      <c r="E14">
        <f>5*G14</f>
        <v>15</v>
      </c>
      <c r="F14">
        <f t="shared" si="2"/>
        <v>0.16666666666666666</v>
      </c>
      <c r="G14">
        <v>3</v>
      </c>
    </row>
    <row r="15" spans="1:7" x14ac:dyDescent="0.25">
      <c r="A15">
        <v>14</v>
      </c>
      <c r="B15">
        <v>-57</v>
      </c>
      <c r="C15">
        <f t="shared" si="0"/>
        <v>57</v>
      </c>
      <c r="D15">
        <f t="shared" si="1"/>
        <v>0.71995058865433659</v>
      </c>
      <c r="E15">
        <f>5*G15</f>
        <v>16.254999999999999</v>
      </c>
      <c r="F15">
        <f t="shared" si="2"/>
        <v>0.18061111111111111</v>
      </c>
      <c r="G15">
        <v>3.2509999999999999</v>
      </c>
    </row>
    <row r="16" spans="1:7" x14ac:dyDescent="0.25">
      <c r="A16">
        <v>15</v>
      </c>
      <c r="B16">
        <v>-61.2</v>
      </c>
      <c r="C16">
        <f t="shared" si="0"/>
        <v>61.2</v>
      </c>
      <c r="D16">
        <f t="shared" si="1"/>
        <v>0.77299957939728769</v>
      </c>
      <c r="E16">
        <f>5*G16</f>
        <v>17.504999999999999</v>
      </c>
      <c r="F16">
        <f t="shared" si="2"/>
        <v>0.19449999999999998</v>
      </c>
      <c r="G16">
        <v>3.5009999999999999</v>
      </c>
    </row>
    <row r="17" spans="1:7" x14ac:dyDescent="0.25">
      <c r="A17">
        <v>16</v>
      </c>
      <c r="B17">
        <v>-65.3</v>
      </c>
      <c r="C17">
        <f t="shared" si="0"/>
        <v>65.3</v>
      </c>
      <c r="D17">
        <f t="shared" si="1"/>
        <v>0.8247854989320732</v>
      </c>
      <c r="E17">
        <f>5*G17</f>
        <v>18.75</v>
      </c>
      <c r="F17">
        <f t="shared" si="2"/>
        <v>0.20833333333333334</v>
      </c>
      <c r="G17">
        <v>3.75</v>
      </c>
    </row>
    <row r="18" spans="1:7" x14ac:dyDescent="0.25">
      <c r="A18">
        <v>17</v>
      </c>
      <c r="B18">
        <v>-69.400000000000006</v>
      </c>
      <c r="C18">
        <f t="shared" si="0"/>
        <v>69.400000000000006</v>
      </c>
      <c r="D18">
        <f t="shared" si="1"/>
        <v>0.87657141846685893</v>
      </c>
      <c r="E18">
        <f>5*G18</f>
        <v>20</v>
      </c>
      <c r="F18">
        <f t="shared" si="2"/>
        <v>0.22222222222222221</v>
      </c>
      <c r="G18">
        <v>4</v>
      </c>
    </row>
    <row r="19" spans="1:7" x14ac:dyDescent="0.25">
      <c r="A19">
        <v>18</v>
      </c>
      <c r="B19">
        <v>-73.3</v>
      </c>
      <c r="C19">
        <f t="shared" si="0"/>
        <v>73.3</v>
      </c>
      <c r="D19">
        <f t="shared" si="1"/>
        <v>0.92583119558531346</v>
      </c>
      <c r="E19">
        <f>5*G19</f>
        <v>21.25</v>
      </c>
      <c r="F19">
        <f t="shared" si="2"/>
        <v>0.2361111111111111</v>
      </c>
      <c r="G19">
        <v>4.25</v>
      </c>
    </row>
    <row r="20" spans="1:7" x14ac:dyDescent="0.25">
      <c r="A20">
        <v>19</v>
      </c>
      <c r="B20">
        <v>-77.2</v>
      </c>
      <c r="C20">
        <f t="shared" si="0"/>
        <v>77.2</v>
      </c>
      <c r="D20">
        <f t="shared" si="1"/>
        <v>0.9750909727037681</v>
      </c>
      <c r="E20">
        <f>5*G20</f>
        <v>22.5</v>
      </c>
      <c r="F20">
        <f t="shared" si="2"/>
        <v>0.25</v>
      </c>
      <c r="G20">
        <v>4.5</v>
      </c>
    </row>
    <row r="21" spans="1:7" x14ac:dyDescent="0.25">
      <c r="A21">
        <v>20</v>
      </c>
      <c r="B21">
        <v>-80.900000000000006</v>
      </c>
      <c r="C21">
        <f t="shared" si="0"/>
        <v>80.900000000000006</v>
      </c>
      <c r="D21">
        <f t="shared" si="1"/>
        <v>1.0218246074058919</v>
      </c>
      <c r="E21">
        <f>5*G21</f>
        <v>23.755000000000003</v>
      </c>
      <c r="F21">
        <f t="shared" si="2"/>
        <v>0.26394444444444448</v>
      </c>
      <c r="G21">
        <v>4.7510000000000003</v>
      </c>
    </row>
    <row r="22" spans="1:7" x14ac:dyDescent="0.25">
      <c r="A22">
        <v>21</v>
      </c>
      <c r="B22">
        <v>-84.7</v>
      </c>
      <c r="C22">
        <f t="shared" si="0"/>
        <v>84.7</v>
      </c>
      <c r="D22">
        <f t="shared" si="1"/>
        <v>1.0698213133161809</v>
      </c>
      <c r="E22">
        <f>5*G22</f>
        <v>25</v>
      </c>
      <c r="F22">
        <f t="shared" si="2"/>
        <v>0.27777777777777779</v>
      </c>
      <c r="G22">
        <v>5</v>
      </c>
    </row>
    <row r="23" spans="1:7" x14ac:dyDescent="0.25">
      <c r="A23">
        <v>22</v>
      </c>
      <c r="B23">
        <v>-88.3</v>
      </c>
      <c r="C23">
        <f t="shared" si="0"/>
        <v>88.3</v>
      </c>
      <c r="D23">
        <f t="shared" si="1"/>
        <v>1.115291876810139</v>
      </c>
      <c r="E23">
        <f>5*G23</f>
        <v>26.25</v>
      </c>
      <c r="F23">
        <f t="shared" si="2"/>
        <v>0.29166666666666669</v>
      </c>
      <c r="G23">
        <v>5.25</v>
      </c>
    </row>
    <row r="24" spans="1:7" x14ac:dyDescent="0.25">
      <c r="A24">
        <v>23</v>
      </c>
      <c r="B24">
        <v>-91.9</v>
      </c>
      <c r="C24">
        <f t="shared" si="0"/>
        <v>91.9</v>
      </c>
      <c r="D24">
        <f t="shared" si="1"/>
        <v>1.160762440304097</v>
      </c>
      <c r="E24">
        <f>5*G24</f>
        <v>27.5</v>
      </c>
      <c r="F24">
        <f t="shared" si="2"/>
        <v>0.30555555555555558</v>
      </c>
      <c r="G24">
        <v>5.5</v>
      </c>
    </row>
    <row r="25" spans="1:7" x14ac:dyDescent="0.25">
      <c r="A25">
        <v>24</v>
      </c>
      <c r="B25">
        <v>-95.2</v>
      </c>
      <c r="C25">
        <f t="shared" si="0"/>
        <v>95.2</v>
      </c>
      <c r="D25">
        <f t="shared" si="1"/>
        <v>1.2024437901735587</v>
      </c>
      <c r="E25">
        <f>5*G25</f>
        <v>28.75</v>
      </c>
      <c r="F25">
        <f t="shared" si="2"/>
        <v>0.31944444444444442</v>
      </c>
      <c r="G25">
        <v>5.75</v>
      </c>
    </row>
    <row r="26" spans="1:7" x14ac:dyDescent="0.25">
      <c r="A26">
        <v>25</v>
      </c>
      <c r="B26">
        <v>-98.6</v>
      </c>
      <c r="C26">
        <f t="shared" si="0"/>
        <v>98.6</v>
      </c>
      <c r="D26">
        <f t="shared" si="1"/>
        <v>1.2453882112511856</v>
      </c>
      <c r="E26">
        <f>5*G26</f>
        <v>30</v>
      </c>
      <c r="F26">
        <f t="shared" si="2"/>
        <v>0.33333333333333331</v>
      </c>
      <c r="G26">
        <v>6</v>
      </c>
    </row>
    <row r="27" spans="1:7" x14ac:dyDescent="0.25">
      <c r="A27">
        <v>26</v>
      </c>
      <c r="B27">
        <v>-101.9</v>
      </c>
      <c r="C27">
        <f t="shared" si="0"/>
        <v>101.9</v>
      </c>
      <c r="D27">
        <f t="shared" si="1"/>
        <v>1.2870695611206473</v>
      </c>
      <c r="E27">
        <f>5*G27</f>
        <v>31.25</v>
      </c>
      <c r="F27">
        <f t="shared" si="2"/>
        <v>0.34722222222222221</v>
      </c>
      <c r="G27">
        <v>6.25</v>
      </c>
    </row>
    <row r="28" spans="1:7" x14ac:dyDescent="0.25">
      <c r="A28">
        <v>27</v>
      </c>
      <c r="B28">
        <v>-104.9</v>
      </c>
      <c r="C28">
        <f t="shared" si="0"/>
        <v>104.9</v>
      </c>
      <c r="D28">
        <f t="shared" si="1"/>
        <v>1.3249616973656124</v>
      </c>
      <c r="E28">
        <f>5*G28</f>
        <v>32.5</v>
      </c>
      <c r="F28">
        <f t="shared" si="2"/>
        <v>0.3611111111111111</v>
      </c>
      <c r="G28">
        <v>6.5</v>
      </c>
    </row>
    <row r="29" spans="1:7" x14ac:dyDescent="0.25">
      <c r="A29">
        <v>28</v>
      </c>
      <c r="B29">
        <v>-107.9</v>
      </c>
      <c r="C29">
        <f t="shared" si="0"/>
        <v>107.9</v>
      </c>
      <c r="D29">
        <f t="shared" si="1"/>
        <v>1.3628538336105775</v>
      </c>
      <c r="E29">
        <f>5*G29</f>
        <v>33.75</v>
      </c>
      <c r="F29">
        <f t="shared" si="2"/>
        <v>0.375</v>
      </c>
      <c r="G29">
        <v>6.75</v>
      </c>
    </row>
    <row r="30" spans="1:7" x14ac:dyDescent="0.25">
      <c r="A30">
        <v>29</v>
      </c>
      <c r="B30">
        <v>-110.8</v>
      </c>
      <c r="C30">
        <f t="shared" si="0"/>
        <v>110.8</v>
      </c>
      <c r="D30">
        <f t="shared" si="1"/>
        <v>1.3994828986473771</v>
      </c>
      <c r="E30">
        <f>5*G30</f>
        <v>35</v>
      </c>
      <c r="F30">
        <f t="shared" si="2"/>
        <v>0.3888888888888889</v>
      </c>
      <c r="G30">
        <v>7</v>
      </c>
    </row>
    <row r="31" spans="1:7" x14ac:dyDescent="0.25">
      <c r="A31">
        <v>30</v>
      </c>
      <c r="B31">
        <v>-113.7</v>
      </c>
      <c r="C31">
        <f t="shared" si="0"/>
        <v>113.7</v>
      </c>
      <c r="D31">
        <f t="shared" si="1"/>
        <v>1.4361119636841766</v>
      </c>
      <c r="E31">
        <f>5*G31</f>
        <v>36.25</v>
      </c>
      <c r="F31">
        <f t="shared" si="2"/>
        <v>0.40277777777777779</v>
      </c>
      <c r="G31">
        <v>7.25</v>
      </c>
    </row>
    <row r="32" spans="1:7" x14ac:dyDescent="0.25">
      <c r="A32">
        <v>31</v>
      </c>
      <c r="B32">
        <v>-116.3</v>
      </c>
      <c r="C32">
        <f t="shared" si="0"/>
        <v>116.3</v>
      </c>
      <c r="D32">
        <f t="shared" si="1"/>
        <v>1.4689518150964795</v>
      </c>
      <c r="E32">
        <f>5*G32</f>
        <v>37.5</v>
      </c>
      <c r="F32">
        <f t="shared" si="2"/>
        <v>0.41666666666666669</v>
      </c>
      <c r="G32">
        <v>7.5</v>
      </c>
    </row>
    <row r="33" spans="1:7" x14ac:dyDescent="0.25">
      <c r="A33">
        <v>32</v>
      </c>
      <c r="B33">
        <v>-118.8</v>
      </c>
      <c r="C33">
        <f t="shared" si="0"/>
        <v>118.8</v>
      </c>
      <c r="D33">
        <f t="shared" si="1"/>
        <v>1.5005285953006173</v>
      </c>
      <c r="E33">
        <f>5*G33</f>
        <v>38.75</v>
      </c>
      <c r="F33">
        <f t="shared" si="2"/>
        <v>0.43055555555555558</v>
      </c>
      <c r="G33">
        <v>7.75</v>
      </c>
    </row>
    <row r="34" spans="1:7" x14ac:dyDescent="0.25">
      <c r="A34">
        <v>33</v>
      </c>
      <c r="B34">
        <v>-121.3</v>
      </c>
      <c r="C34">
        <f t="shared" si="0"/>
        <v>121.3</v>
      </c>
      <c r="D34">
        <f t="shared" si="1"/>
        <v>1.5321053755047549</v>
      </c>
      <c r="E34">
        <f>5*G34</f>
        <v>40</v>
      </c>
      <c r="F34">
        <f t="shared" si="2"/>
        <v>0.44444444444444442</v>
      </c>
      <c r="G34">
        <v>8</v>
      </c>
    </row>
    <row r="35" spans="1:7" x14ac:dyDescent="0.25">
      <c r="A35">
        <v>34</v>
      </c>
      <c r="B35">
        <v>-123.9</v>
      </c>
      <c r="C35">
        <f t="shared" si="0"/>
        <v>123.9</v>
      </c>
      <c r="D35">
        <f t="shared" si="1"/>
        <v>1.5649452269170581</v>
      </c>
      <c r="E35">
        <f>5*G35</f>
        <v>41.25</v>
      </c>
      <c r="F35">
        <f t="shared" si="2"/>
        <v>0.45833333333333331</v>
      </c>
      <c r="G35">
        <v>8.25</v>
      </c>
    </row>
    <row r="36" spans="1:7" x14ac:dyDescent="0.25">
      <c r="A36">
        <v>35</v>
      </c>
      <c r="B36">
        <v>-126.3</v>
      </c>
      <c r="C36">
        <f t="shared" si="0"/>
        <v>126.3</v>
      </c>
      <c r="D36">
        <f t="shared" si="1"/>
        <v>1.59525893591303</v>
      </c>
      <c r="E36">
        <f>5*G36</f>
        <v>42.504999999999995</v>
      </c>
      <c r="F36">
        <f t="shared" si="2"/>
        <v>0.47227777777777774</v>
      </c>
      <c r="G36">
        <v>8.5009999999999994</v>
      </c>
    </row>
    <row r="37" spans="1:7" x14ac:dyDescent="0.25">
      <c r="A37">
        <v>36</v>
      </c>
      <c r="B37">
        <v>-128.80000000000001</v>
      </c>
      <c r="C37">
        <f t="shared" si="0"/>
        <v>128.80000000000001</v>
      </c>
      <c r="D37">
        <f t="shared" si="1"/>
        <v>1.6268357161171676</v>
      </c>
      <c r="E37">
        <f>5*G37</f>
        <v>43.75</v>
      </c>
      <c r="F37">
        <f t="shared" si="2"/>
        <v>0.4861111111111111</v>
      </c>
      <c r="G37">
        <v>8.75</v>
      </c>
    </row>
    <row r="38" spans="1:7" x14ac:dyDescent="0.25">
      <c r="A38">
        <v>37</v>
      </c>
      <c r="B38">
        <v>-131.1</v>
      </c>
      <c r="C38">
        <f t="shared" si="0"/>
        <v>131.1</v>
      </c>
      <c r="D38">
        <f t="shared" si="1"/>
        <v>1.655886353904974</v>
      </c>
      <c r="E38">
        <f>5*G38</f>
        <v>45</v>
      </c>
      <c r="F38">
        <f t="shared" si="2"/>
        <v>0.5</v>
      </c>
      <c r="G38">
        <v>9</v>
      </c>
    </row>
    <row r="39" spans="1:7" x14ac:dyDescent="0.25">
      <c r="A39">
        <v>38</v>
      </c>
      <c r="B39">
        <v>-133.4</v>
      </c>
      <c r="C39">
        <f t="shared" si="0"/>
        <v>133.4</v>
      </c>
      <c r="D39">
        <f t="shared" si="1"/>
        <v>1.6849369916927808</v>
      </c>
      <c r="E39">
        <f>5*G39</f>
        <v>46.254999999999995</v>
      </c>
      <c r="F39">
        <f t="shared" si="2"/>
        <v>0.51394444444444443</v>
      </c>
      <c r="G39">
        <v>9.2509999999999994</v>
      </c>
    </row>
    <row r="40" spans="1:7" x14ac:dyDescent="0.25">
      <c r="A40">
        <v>39</v>
      </c>
      <c r="B40">
        <v>-135.69999999999999</v>
      </c>
      <c r="C40">
        <f t="shared" si="0"/>
        <v>135.69999999999999</v>
      </c>
      <c r="D40">
        <f t="shared" si="1"/>
        <v>1.7139876294805871</v>
      </c>
      <c r="E40">
        <f>5*G40</f>
        <v>47.5</v>
      </c>
      <c r="F40">
        <f t="shared" si="2"/>
        <v>0.52777777777777779</v>
      </c>
      <c r="G40">
        <v>9.5</v>
      </c>
    </row>
    <row r="41" spans="1:7" x14ac:dyDescent="0.25">
      <c r="A41">
        <v>40</v>
      </c>
      <c r="B41">
        <v>-137.80000000000001</v>
      </c>
      <c r="C41">
        <f t="shared" si="0"/>
        <v>137.80000000000001</v>
      </c>
      <c r="D41">
        <f t="shared" si="1"/>
        <v>1.740512124852063</v>
      </c>
      <c r="E41">
        <f>5*G41</f>
        <v>48.75</v>
      </c>
      <c r="F41">
        <f t="shared" si="2"/>
        <v>0.54166666666666663</v>
      </c>
      <c r="G41">
        <v>9.75</v>
      </c>
    </row>
    <row r="42" spans="1:7" x14ac:dyDescent="0.25">
      <c r="A42">
        <v>41</v>
      </c>
      <c r="B42">
        <v>253.9</v>
      </c>
      <c r="C42">
        <f t="shared" si="0"/>
        <v>-253.9</v>
      </c>
      <c r="D42">
        <f t="shared" si="1"/>
        <v>-3.2069377975322113</v>
      </c>
      <c r="E42">
        <f>5*G42</f>
        <v>50.004999999999995</v>
      </c>
      <c r="F42">
        <f t="shared" si="2"/>
        <v>0.55561111111111106</v>
      </c>
      <c r="G42">
        <v>10.000999999999999</v>
      </c>
    </row>
    <row r="43" spans="1:7" x14ac:dyDescent="0.25">
      <c r="A43">
        <v>42</v>
      </c>
      <c r="B43">
        <v>253.2</v>
      </c>
      <c r="C43">
        <f t="shared" si="0"/>
        <v>-253.2</v>
      </c>
      <c r="D43">
        <f t="shared" si="1"/>
        <v>-3.1980962990750528</v>
      </c>
      <c r="E43">
        <f>5*G43</f>
        <v>51.25</v>
      </c>
      <c r="F43">
        <f t="shared" si="2"/>
        <v>0.56944444444444442</v>
      </c>
      <c r="G43">
        <v>10.25</v>
      </c>
    </row>
    <row r="44" spans="1:7" x14ac:dyDescent="0.25">
      <c r="A44">
        <v>43</v>
      </c>
      <c r="B44">
        <v>253.2</v>
      </c>
      <c r="C44">
        <f t="shared" si="0"/>
        <v>-253.2</v>
      </c>
      <c r="D44">
        <f t="shared" si="1"/>
        <v>-3.1980962990750528</v>
      </c>
      <c r="E44">
        <f>5*G44</f>
        <v>52.5</v>
      </c>
      <c r="F44">
        <f t="shared" si="2"/>
        <v>0.58333333333333337</v>
      </c>
      <c r="G44">
        <v>10.5</v>
      </c>
    </row>
    <row r="45" spans="1:7" x14ac:dyDescent="0.25">
      <c r="A45">
        <v>44</v>
      </c>
      <c r="B45">
        <v>253.2</v>
      </c>
      <c r="C45">
        <f t="shared" si="0"/>
        <v>-253.2</v>
      </c>
      <c r="D45">
        <f t="shared" si="1"/>
        <v>-3.1980962990750528</v>
      </c>
      <c r="E45">
        <f>5*G45</f>
        <v>53.75</v>
      </c>
      <c r="F45">
        <f t="shared" si="2"/>
        <v>0.59722222222222221</v>
      </c>
      <c r="G45">
        <v>10.75</v>
      </c>
    </row>
    <row r="46" spans="1:7" x14ac:dyDescent="0.25">
      <c r="A46">
        <v>45</v>
      </c>
      <c r="B46">
        <v>253.2</v>
      </c>
      <c r="C46">
        <f t="shared" si="0"/>
        <v>-253.2</v>
      </c>
      <c r="D46">
        <f t="shared" si="1"/>
        <v>-3.1980962990750528</v>
      </c>
      <c r="E46">
        <f>5*G46</f>
        <v>55</v>
      </c>
      <c r="F46">
        <f t="shared" si="2"/>
        <v>0.61111111111111116</v>
      </c>
      <c r="G46">
        <v>11</v>
      </c>
    </row>
    <row r="47" spans="1:7" x14ac:dyDescent="0.25">
      <c r="A47">
        <v>46</v>
      </c>
      <c r="B47">
        <v>253.2</v>
      </c>
      <c r="C47">
        <f t="shared" si="0"/>
        <v>-253.2</v>
      </c>
      <c r="D47">
        <f t="shared" si="1"/>
        <v>-3.1980962990750528</v>
      </c>
      <c r="E47">
        <f>5*G47</f>
        <v>56.25</v>
      </c>
      <c r="F47">
        <f t="shared" si="2"/>
        <v>0.625</v>
      </c>
      <c r="G47">
        <v>11.25</v>
      </c>
    </row>
    <row r="48" spans="1:7" x14ac:dyDescent="0.25">
      <c r="A48">
        <v>47</v>
      </c>
      <c r="B48">
        <v>253.2</v>
      </c>
      <c r="C48">
        <f t="shared" si="0"/>
        <v>-253.2</v>
      </c>
      <c r="D48">
        <f t="shared" si="1"/>
        <v>-3.1980962990750528</v>
      </c>
      <c r="E48">
        <f>5*G48</f>
        <v>57.5</v>
      </c>
      <c r="F48">
        <f t="shared" si="2"/>
        <v>0.63888888888888884</v>
      </c>
      <c r="G48">
        <v>11.5</v>
      </c>
    </row>
    <row r="49" spans="1:7" x14ac:dyDescent="0.25">
      <c r="A49">
        <v>48</v>
      </c>
      <c r="B49">
        <v>253.2</v>
      </c>
      <c r="C49">
        <f t="shared" si="0"/>
        <v>-253.2</v>
      </c>
      <c r="D49">
        <f t="shared" si="1"/>
        <v>-3.1980962990750528</v>
      </c>
      <c r="E49">
        <f>5*G49</f>
        <v>58.75</v>
      </c>
      <c r="F49">
        <f t="shared" si="2"/>
        <v>0.65277777777777779</v>
      </c>
      <c r="G49">
        <v>11.75</v>
      </c>
    </row>
    <row r="50" spans="1:7" x14ac:dyDescent="0.25">
      <c r="A50">
        <v>49</v>
      </c>
      <c r="B50">
        <v>253.2</v>
      </c>
      <c r="C50">
        <f t="shared" si="0"/>
        <v>-253.2</v>
      </c>
      <c r="D50">
        <f t="shared" si="1"/>
        <v>-3.1980962990750528</v>
      </c>
      <c r="E50">
        <f>5*G50</f>
        <v>60</v>
      </c>
      <c r="F50">
        <f t="shared" si="2"/>
        <v>0.66666666666666663</v>
      </c>
      <c r="G50">
        <v>12</v>
      </c>
    </row>
    <row r="51" spans="1:7" x14ac:dyDescent="0.25">
      <c r="A51">
        <v>50</v>
      </c>
      <c r="B51">
        <v>253.2</v>
      </c>
      <c r="C51">
        <f t="shared" si="0"/>
        <v>-253.2</v>
      </c>
      <c r="D51">
        <f t="shared" si="1"/>
        <v>-3.1980962990750528</v>
      </c>
      <c r="E51">
        <f>5*G51</f>
        <v>61.25</v>
      </c>
      <c r="F51">
        <f t="shared" si="2"/>
        <v>0.68055555555555558</v>
      </c>
      <c r="G51">
        <v>12.25</v>
      </c>
    </row>
    <row r="52" spans="1:7" x14ac:dyDescent="0.25">
      <c r="A52">
        <v>51</v>
      </c>
      <c r="B52">
        <v>253.2</v>
      </c>
      <c r="C52">
        <f t="shared" si="0"/>
        <v>-253.2</v>
      </c>
      <c r="D52">
        <f t="shared" si="1"/>
        <v>-3.1980962990750528</v>
      </c>
      <c r="E52">
        <f>5*G52</f>
        <v>62.5</v>
      </c>
      <c r="F52">
        <f t="shared" si="2"/>
        <v>0.69444444444444442</v>
      </c>
      <c r="G52">
        <v>12.5</v>
      </c>
    </row>
    <row r="53" spans="1:7" x14ac:dyDescent="0.25">
      <c r="A53">
        <v>52</v>
      </c>
      <c r="B53">
        <v>253.2</v>
      </c>
      <c r="C53">
        <f t="shared" si="0"/>
        <v>-253.2</v>
      </c>
      <c r="D53">
        <f t="shared" si="1"/>
        <v>-3.1980962990750528</v>
      </c>
      <c r="E53">
        <f>5*G53</f>
        <v>63.75</v>
      </c>
      <c r="F53">
        <f t="shared" si="2"/>
        <v>0.70833333333333337</v>
      </c>
      <c r="G53">
        <v>12.75</v>
      </c>
    </row>
    <row r="54" spans="1:7" x14ac:dyDescent="0.25">
      <c r="A54">
        <v>53</v>
      </c>
      <c r="B54">
        <v>253.2</v>
      </c>
      <c r="C54">
        <f t="shared" si="0"/>
        <v>-253.2</v>
      </c>
      <c r="D54">
        <f t="shared" si="1"/>
        <v>-3.1980962990750528</v>
      </c>
      <c r="E54">
        <f>5*G54</f>
        <v>65</v>
      </c>
      <c r="F54">
        <f t="shared" si="2"/>
        <v>0.72222222222222221</v>
      </c>
      <c r="G54">
        <v>13</v>
      </c>
    </row>
    <row r="55" spans="1:7" x14ac:dyDescent="0.25">
      <c r="A55">
        <v>54</v>
      </c>
      <c r="B55">
        <v>253.2</v>
      </c>
      <c r="C55">
        <f t="shared" si="0"/>
        <v>-253.2</v>
      </c>
      <c r="D55">
        <f t="shared" si="1"/>
        <v>-3.1980962990750528</v>
      </c>
      <c r="E55">
        <f>5*G55</f>
        <v>66.25</v>
      </c>
      <c r="F55">
        <f t="shared" si="2"/>
        <v>0.73611111111111116</v>
      </c>
      <c r="G55">
        <v>13.25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2026-07-21T21:13:18Z</dcterms:created>
  <dcterms:modified xsi:type="dcterms:W3CDTF">2026-07-21T21:24:54Z</dcterms:modified>
</cp:coreProperties>
</file>